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 activeTab="1"/>
  </bookViews>
  <sheets>
    <sheet name="scenario_comparison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<sst xmlns="http://schemas.openxmlformats.org/spreadsheetml/2006/main" count="131" uniqueCount="52">
  <si>
    <t>Senaryo</t>
  </si>
  <si>
    <t>Ortalama F1</t>
  </si>
  <si>
    <t>En 陌yi F1</t>
  </si>
  <si>
    <t>En 陌yi Model</t>
  </si>
  <si>
    <t>avg_f1</t>
  </si>
  <si>
    <t>best_f1</t>
  </si>
  <si>
    <t>S0: Baseline</t>
  </si>
  <si>
    <t>0.788</t>
  </si>
  <si>
    <t>0.817</t>
  </si>
  <si>
    <t>Logistic Regression</t>
  </si>
  <si>
    <t>0.7884722659855576</t>
  </si>
  <si>
    <t>0.8168054538054538</t>
  </si>
  <si>
    <t>S1: + PCA</t>
  </si>
  <si>
    <t>0.791</t>
  </si>
  <si>
    <t>0.820</t>
  </si>
  <si>
    <t>0.790969439737618</t>
  </si>
  <si>
    <t>0.8202307692307691</t>
  </si>
  <si>
    <t>S2: + FE</t>
  </si>
  <si>
    <t>0.785</t>
  </si>
  <si>
    <t>0.815</t>
  </si>
  <si>
    <t>0.7854275823520475</t>
  </si>
  <si>
    <t>0.8151302401302403</t>
  </si>
  <si>
    <t>S3: + SMOTE</t>
  </si>
  <si>
    <t>0.826</t>
  </si>
  <si>
    <t>0.837</t>
  </si>
  <si>
    <t>0.8255642466753712</t>
  </si>
  <si>
    <t>0.8370204416077283</t>
  </si>
  <si>
    <t>S4: + Optuna</t>
  </si>
  <si>
    <t>0.813</t>
  </si>
  <si>
    <t>0.824</t>
  </si>
  <si>
    <t>Random Forest</t>
  </si>
  <si>
    <t>0.8127139743111758</t>
  </si>
  <si>
    <t>0.824029711029711</t>
  </si>
  <si>
    <t>S5: All Combined</t>
  </si>
  <si>
    <t>0.838</t>
  </si>
  <si>
    <t>0.843</t>
  </si>
  <si>
    <t>Logistic Regression (Best)</t>
  </si>
  <si>
    <t>0.8382973472869109</t>
  </si>
  <si>
    <t>0.8429345638548675</t>
  </si>
  <si>
    <t>Model</t>
  </si>
  <si>
    <t>Accuracy</t>
  </si>
  <si>
    <t>Recall</t>
  </si>
  <si>
    <t>F1-Score</t>
  </si>
  <si>
    <t>AUC</t>
  </si>
  <si>
    <t>Naive Bayes</t>
  </si>
  <si>
    <t>SVM</t>
  </si>
  <si>
    <t>XGBoost</t>
  </si>
  <si>
    <t>KNN</t>
  </si>
  <si>
    <t>AVG</t>
  </si>
  <si>
    <t>Artış-xgb</t>
  </si>
  <si>
    <t>Artış</t>
  </si>
  <si>
    <t>XGBoost (Worst)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</si>
</sst>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0"/>
      <color rgb="FFFFFFFF"/>
      <name val="Palatino Linotype"/>
      <charset val="134"/>
    </font>
    <font>
      <b/>
      <sz val="11"/>
      <color rgb="FF000000"/>
      <name val="Palatino Linotype"/>
      <charset val="134"/>
    </font>
    <font>
      <sz val="11"/>
      <color rgb="FF000000"/>
      <name val="Palatino Linotype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D3DF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4F81BD"/>
      </left>
      <right style="medium">
        <color rgb="FF4F81BD"/>
      </right>
      <top style="medium">
        <color rgb="FF4F81BD"/>
      </top>
      <bottom style="thick">
        <color rgb="FF4F81BD"/>
      </bottom>
      <diagonal/>
    </border>
    <border>
      <left style="medium">
        <color rgb="FF4F81BD"/>
      </left>
      <right style="medium">
        <color rgb="FF4F81BD"/>
      </right>
      <top style="thick">
        <color rgb="FF4F81BD"/>
      </top>
      <bottom style="medium">
        <color rgb="FF4F81BD"/>
      </bottom>
      <diagonal/>
    </border>
    <border>
      <left style="medium">
        <color rgb="FF4F81BD"/>
      </left>
      <right style="medium">
        <color rgb="FF4F81BD"/>
      </right>
      <top style="medium">
        <color rgb="FF4F81BD"/>
      </top>
      <bottom style="medium">
        <color rgb="FF4F81B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4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zoomScale="146" zoomScaleNormal="146" zoomScaleSheetLayoutView="60" workbookViewId="0">
      <selection activeCell="E14" sqref="E14"/>
    </sheetView>
  </sheetViews>
  <sheetFormatPr defaultColWidth="10" defaultRowHeight="14.4" outlineLevelRow="6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</row>
    <row r="4" spans="1:6">
      <c r="A4" t="s">
        <v>17</v>
      </c>
      <c r="B4" t="s">
        <v>18</v>
      </c>
      <c r="C4" t="s">
        <v>19</v>
      </c>
      <c r="D4" t="s">
        <v>9</v>
      </c>
      <c r="E4" t="s">
        <v>20</v>
      </c>
      <c r="F4" t="s">
        <v>21</v>
      </c>
    </row>
    <row r="5" spans="1:6">
      <c r="A5" t="s">
        <v>22</v>
      </c>
      <c r="B5" t="s">
        <v>23</v>
      </c>
      <c r="C5" t="s">
        <v>24</v>
      </c>
      <c r="D5" t="s">
        <v>9</v>
      </c>
      <c r="E5" t="s">
        <v>25</v>
      </c>
      <c r="F5" t="s">
        <v>26</v>
      </c>
    </row>
    <row r="6" spans="1:6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</row>
    <row r="7" spans="1:6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4"/>
  <sheetViews>
    <sheetView tabSelected="1" workbookViewId="0">
      <selection activeCell="R21" sqref="R21"/>
    </sheetView>
  </sheetViews>
  <sheetFormatPr defaultColWidth="8.88888888888889" defaultRowHeight="14.4"/>
  <cols>
    <col min="3" max="5" width="12.8888888888889"/>
    <col min="9" max="11" width="12.8888888888889"/>
    <col min="12" max="12" width="14.1111111111111"/>
    <col min="16" max="16" width="12.8888888888889"/>
    <col min="17" max="17" width="14.1111111111111"/>
    <col min="18" max="19" width="12.8888888888889"/>
  </cols>
  <sheetData>
    <row r="1" ht="15.75" spans="1:20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0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0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0</v>
      </c>
    </row>
    <row r="2" ht="46.8" spans="1:20">
      <c r="A2" s="2" t="s">
        <v>9</v>
      </c>
      <c r="B2" s="3">
        <v>0.842</v>
      </c>
      <c r="C2" s="3">
        <v>0.771</v>
      </c>
      <c r="D2" s="3">
        <v>0.817</v>
      </c>
      <c r="E2" s="3">
        <v>0.911</v>
      </c>
      <c r="F2">
        <v>0</v>
      </c>
      <c r="H2" s="2" t="s">
        <v>9</v>
      </c>
      <c r="I2" s="3">
        <v>0.845</v>
      </c>
      <c r="J2" s="3">
        <v>0.771</v>
      </c>
      <c r="K2" s="3">
        <v>0.82</v>
      </c>
      <c r="L2" s="3">
        <v>0.91</v>
      </c>
      <c r="M2">
        <v>1</v>
      </c>
      <c r="O2" s="2" t="s">
        <v>9</v>
      </c>
      <c r="P2" s="3">
        <v>0.842</v>
      </c>
      <c r="Q2" s="3">
        <v>0.771</v>
      </c>
      <c r="R2" s="3">
        <v>0.817</v>
      </c>
      <c r="S2" s="3">
        <v>0.911</v>
      </c>
      <c r="T2">
        <v>4</v>
      </c>
    </row>
    <row r="3" ht="31.2" spans="1:20">
      <c r="A3" s="4" t="s">
        <v>44</v>
      </c>
      <c r="B3" s="5">
        <v>0.819</v>
      </c>
      <c r="C3" s="5">
        <v>0.785</v>
      </c>
      <c r="D3" s="5">
        <v>0.798</v>
      </c>
      <c r="E3" s="5">
        <v>0.895</v>
      </c>
      <c r="F3">
        <v>0</v>
      </c>
      <c r="H3" s="4" t="s">
        <v>44</v>
      </c>
      <c r="I3" s="5">
        <v>0.806</v>
      </c>
      <c r="J3" s="5">
        <v>0.735</v>
      </c>
      <c r="K3" s="5">
        <v>0.774</v>
      </c>
      <c r="L3" s="5">
        <v>0.893</v>
      </c>
      <c r="M3">
        <v>1</v>
      </c>
      <c r="O3" s="4" t="s">
        <v>44</v>
      </c>
      <c r="P3" s="5">
        <v>0.819</v>
      </c>
      <c r="Q3" s="5">
        <v>0.785</v>
      </c>
      <c r="R3" s="5">
        <v>0.798</v>
      </c>
      <c r="S3" s="5">
        <v>0.895</v>
      </c>
      <c r="T3">
        <v>4</v>
      </c>
    </row>
    <row r="4" ht="31.2" spans="1:20">
      <c r="A4" s="6" t="s">
        <v>30</v>
      </c>
      <c r="B4" s="7">
        <v>0.809</v>
      </c>
      <c r="C4" s="7">
        <v>0.757</v>
      </c>
      <c r="D4" s="7">
        <v>0.783</v>
      </c>
      <c r="E4" s="7">
        <v>0.896</v>
      </c>
      <c r="F4">
        <v>0</v>
      </c>
      <c r="H4" s="6" t="s">
        <v>30</v>
      </c>
      <c r="I4" s="7">
        <v>0.802</v>
      </c>
      <c r="J4" s="7">
        <v>0.771</v>
      </c>
      <c r="K4" s="7">
        <v>0.78</v>
      </c>
      <c r="L4" s="7">
        <v>0.878</v>
      </c>
      <c r="M4">
        <v>1</v>
      </c>
      <c r="O4" s="6" t="s">
        <v>30</v>
      </c>
      <c r="P4" s="7">
        <v>0.848</v>
      </c>
      <c r="Q4" s="7">
        <v>0.778</v>
      </c>
      <c r="R4" s="7">
        <v>0.824</v>
      </c>
      <c r="S4" s="7">
        <v>0.914</v>
      </c>
      <c r="T4">
        <v>4</v>
      </c>
    </row>
    <row r="5" ht="16.35" spans="1:20">
      <c r="A5" s="4" t="s">
        <v>45</v>
      </c>
      <c r="B5" s="5">
        <v>0.832</v>
      </c>
      <c r="C5" s="5">
        <v>0.771</v>
      </c>
      <c r="D5" s="5">
        <v>0.806</v>
      </c>
      <c r="E5" s="5">
        <v>0.9</v>
      </c>
      <c r="F5">
        <v>0</v>
      </c>
      <c r="H5" s="4" t="s">
        <v>45</v>
      </c>
      <c r="I5" s="5">
        <v>0.825</v>
      </c>
      <c r="J5" s="5">
        <v>0.756</v>
      </c>
      <c r="K5" s="5">
        <v>0.794</v>
      </c>
      <c r="L5" s="5">
        <v>0.9</v>
      </c>
      <c r="M5">
        <v>1</v>
      </c>
      <c r="O5" s="4" t="s">
        <v>45</v>
      </c>
      <c r="P5" s="5">
        <v>0.845</v>
      </c>
      <c r="Q5" s="5">
        <v>0.757</v>
      </c>
      <c r="R5" s="5">
        <v>0.815</v>
      </c>
      <c r="S5" s="5">
        <v>0.906</v>
      </c>
      <c r="T5">
        <v>4</v>
      </c>
    </row>
    <row r="6" ht="31.2" spans="1:20">
      <c r="A6" s="6" t="s">
        <v>46</v>
      </c>
      <c r="B6" s="7">
        <v>0.763</v>
      </c>
      <c r="C6" s="7">
        <v>0.721</v>
      </c>
      <c r="D6" s="7">
        <v>0.732</v>
      </c>
      <c r="E6" s="7">
        <v>0.881</v>
      </c>
      <c r="F6">
        <v>0</v>
      </c>
      <c r="H6" s="6" t="s">
        <v>46</v>
      </c>
      <c r="I6" s="7">
        <v>0.822</v>
      </c>
      <c r="J6" s="7">
        <v>0.799</v>
      </c>
      <c r="K6" s="7">
        <v>0.803</v>
      </c>
      <c r="L6" s="7">
        <v>0.887</v>
      </c>
      <c r="M6">
        <v>1</v>
      </c>
      <c r="O6" s="6" t="s">
        <v>46</v>
      </c>
      <c r="P6" s="7">
        <v>0.836</v>
      </c>
      <c r="Q6" s="7">
        <v>0.814</v>
      </c>
      <c r="R6" s="7">
        <v>0.82</v>
      </c>
      <c r="S6" s="7">
        <v>0.906</v>
      </c>
      <c r="T6">
        <v>4</v>
      </c>
    </row>
    <row r="7" ht="16.35" spans="1:20">
      <c r="A7" s="4" t="s">
        <v>47</v>
      </c>
      <c r="B7" s="5">
        <v>0.822</v>
      </c>
      <c r="C7" s="5">
        <v>0.771</v>
      </c>
      <c r="D7" s="5">
        <v>0.796</v>
      </c>
      <c r="E7" s="5">
        <v>0.877</v>
      </c>
      <c r="F7">
        <v>0</v>
      </c>
      <c r="H7" s="4" t="s">
        <v>47</v>
      </c>
      <c r="I7" s="5">
        <v>0.799</v>
      </c>
      <c r="J7" s="5">
        <v>0.757</v>
      </c>
      <c r="K7" s="5">
        <v>0.774</v>
      </c>
      <c r="L7" s="5">
        <v>0.873</v>
      </c>
      <c r="M7">
        <v>1</v>
      </c>
      <c r="O7" s="4" t="s">
        <v>47</v>
      </c>
      <c r="P7" s="5">
        <v>0.829</v>
      </c>
      <c r="Q7" s="5">
        <v>0.764</v>
      </c>
      <c r="R7" s="5">
        <v>0.802</v>
      </c>
      <c r="S7" s="5">
        <v>0.906</v>
      </c>
      <c r="T7">
        <v>4</v>
      </c>
    </row>
    <row r="8" spans="1:20">
      <c r="A8" s="8" t="s">
        <v>48</v>
      </c>
      <c r="B8">
        <f>AVERAGE(B2:B7)</f>
        <v>0.8145</v>
      </c>
      <c r="C8">
        <f t="shared" ref="C8:T8" si="0">AVERAGE(C2:C7)</f>
        <v>0.762666666666667</v>
      </c>
      <c r="D8">
        <f t="shared" si="0"/>
        <v>0.788666666666667</v>
      </c>
      <c r="E8">
        <f t="shared" si="0"/>
        <v>0.893333333333333</v>
      </c>
      <c r="F8">
        <f t="shared" si="0"/>
        <v>0</v>
      </c>
      <c r="H8" s="8" t="s">
        <v>48</v>
      </c>
      <c r="I8">
        <f t="shared" si="0"/>
        <v>0.8165</v>
      </c>
      <c r="J8">
        <f t="shared" si="0"/>
        <v>0.764833333333333</v>
      </c>
      <c r="K8">
        <f t="shared" si="0"/>
        <v>0.790833333333333</v>
      </c>
      <c r="L8">
        <f t="shared" si="0"/>
        <v>0.890166666666667</v>
      </c>
      <c r="M8">
        <f t="shared" si="0"/>
        <v>1</v>
      </c>
      <c r="O8" s="8" t="s">
        <v>48</v>
      </c>
      <c r="P8">
        <f t="shared" si="0"/>
        <v>0.8365</v>
      </c>
      <c r="Q8">
        <f t="shared" si="0"/>
        <v>0.778166666666667</v>
      </c>
      <c r="R8">
        <f t="shared" si="0"/>
        <v>0.812666666666667</v>
      </c>
      <c r="S8">
        <f t="shared" si="0"/>
        <v>0.906333333333333</v>
      </c>
      <c r="T8">
        <f t="shared" si="0"/>
        <v>4</v>
      </c>
    </row>
    <row r="9" spans="8:19">
      <c r="H9" s="8" t="s">
        <v>49</v>
      </c>
      <c r="I9">
        <f>(I6-B6)/B6*100</f>
        <v>7.73263433813892</v>
      </c>
      <c r="J9">
        <f>(J6-C6)/C6*100</f>
        <v>10.8183079056866</v>
      </c>
      <c r="K9">
        <f>(K6-D6)/D6*100</f>
        <v>9.69945355191258</v>
      </c>
      <c r="L9">
        <f>(L6-E6)/E6*100</f>
        <v>0.681044267877413</v>
      </c>
      <c r="O9" s="8" t="s">
        <v>50</v>
      </c>
      <c r="P9">
        <f>(P2-B2)/B2*100</f>
        <v>0</v>
      </c>
      <c r="Q9">
        <f>(Q2-C2)/C2*100</f>
        <v>0</v>
      </c>
      <c r="R9">
        <f>(R2-D2)/D2*100</f>
        <v>0</v>
      </c>
      <c r="S9">
        <f>(S2-E2)/E2*100</f>
        <v>0</v>
      </c>
    </row>
    <row r="10" ht="15.15" spans="15:19">
      <c r="O10" s="8" t="s">
        <v>50</v>
      </c>
      <c r="P10">
        <f>(P3-B3)/B3*100</f>
        <v>0</v>
      </c>
      <c r="Q10">
        <f>(Q3-C3)/C3*100</f>
        <v>0</v>
      </c>
      <c r="R10">
        <f>(R3-D3)/D3*100</f>
        <v>0</v>
      </c>
      <c r="S10">
        <f>(S3-E3)/E3*100</f>
        <v>0</v>
      </c>
    </row>
    <row r="11" ht="15.75" spans="1:19">
      <c r="A11" s="1" t="s">
        <v>39</v>
      </c>
      <c r="B11" s="1" t="s">
        <v>40</v>
      </c>
      <c r="C11" s="1" t="s">
        <v>41</v>
      </c>
      <c r="D11" s="1" t="s">
        <v>42</v>
      </c>
      <c r="E11" s="1" t="s">
        <v>43</v>
      </c>
      <c r="F11" s="1" t="s">
        <v>0</v>
      </c>
      <c r="H11" s="1" t="s">
        <v>39</v>
      </c>
      <c r="I11" s="1" t="s">
        <v>40</v>
      </c>
      <c r="J11" s="1" t="s">
        <v>41</v>
      </c>
      <c r="K11" s="1" t="s">
        <v>42</v>
      </c>
      <c r="L11" s="1" t="s">
        <v>43</v>
      </c>
      <c r="M11" s="1" t="s">
        <v>0</v>
      </c>
      <c r="O11" s="8" t="s">
        <v>50</v>
      </c>
      <c r="P11">
        <f>(P4-B4)/B4*100</f>
        <v>4.82076637824474</v>
      </c>
      <c r="Q11">
        <f>(Q4-C4)/C4*100</f>
        <v>2.77410832232497</v>
      </c>
      <c r="R11">
        <f>(R4-D4)/D4*100</f>
        <v>5.23627075351212</v>
      </c>
      <c r="S11">
        <f>(S4-E4)/E4*100</f>
        <v>2.00892857142857</v>
      </c>
    </row>
    <row r="12" ht="46.8" spans="1:19">
      <c r="A12" s="2" t="s">
        <v>9</v>
      </c>
      <c r="B12" s="3">
        <v>0.839</v>
      </c>
      <c r="C12" s="3">
        <v>0.778</v>
      </c>
      <c r="D12" s="3">
        <v>0.815</v>
      </c>
      <c r="E12" s="3">
        <v>0.91</v>
      </c>
      <c r="F12">
        <v>2</v>
      </c>
      <c r="H12" s="2" t="s">
        <v>9</v>
      </c>
      <c r="I12" s="3">
        <v>0.842</v>
      </c>
      <c r="J12" s="3">
        <v>0.806</v>
      </c>
      <c r="K12" s="3">
        <v>0.837</v>
      </c>
      <c r="L12" s="3">
        <v>0.908</v>
      </c>
      <c r="M12">
        <v>3</v>
      </c>
      <c r="O12" s="8" t="s">
        <v>50</v>
      </c>
      <c r="P12">
        <f>(P5-B5)/B5*100</f>
        <v>1.5625</v>
      </c>
      <c r="Q12">
        <f>(Q5-C5)/C5*100</f>
        <v>-1.81582360570688</v>
      </c>
      <c r="R12">
        <f>(R5-D5)/D5*100</f>
        <v>1.11662531017368</v>
      </c>
      <c r="S12">
        <f>(S5-E5)/E5*100</f>
        <v>0.666666666666667</v>
      </c>
    </row>
    <row r="13" ht="31.2" spans="1:19">
      <c r="A13" s="4" t="s">
        <v>44</v>
      </c>
      <c r="B13" s="5">
        <v>0.812</v>
      </c>
      <c r="C13" s="5">
        <v>0.785</v>
      </c>
      <c r="D13" s="5">
        <v>0.793</v>
      </c>
      <c r="E13" s="5">
        <v>0.878</v>
      </c>
      <c r="F13">
        <v>2</v>
      </c>
      <c r="H13" s="4" t="s">
        <v>44</v>
      </c>
      <c r="I13" s="5">
        <v>0.821</v>
      </c>
      <c r="J13" s="5">
        <v>0.781</v>
      </c>
      <c r="K13" s="5">
        <v>0.811</v>
      </c>
      <c r="L13" s="5">
        <v>0.889</v>
      </c>
      <c r="M13">
        <v>3</v>
      </c>
      <c r="O13" s="8" t="s">
        <v>50</v>
      </c>
      <c r="P13">
        <f>(P6-B6)/B6*100</f>
        <v>9.56749672346002</v>
      </c>
      <c r="Q13">
        <f>(Q6-C6)/C6*100</f>
        <v>12.8987517337032</v>
      </c>
      <c r="R13">
        <f>(R6-D6)/D6*100</f>
        <v>12.0218579234973</v>
      </c>
      <c r="S13">
        <f>(S6-E6)/E6*100</f>
        <v>2.83768444948922</v>
      </c>
    </row>
    <row r="14" ht="31.2" spans="1:19">
      <c r="A14" s="6" t="s">
        <v>30</v>
      </c>
      <c r="B14" s="7">
        <v>0.812</v>
      </c>
      <c r="C14" s="7">
        <v>0.757</v>
      </c>
      <c r="D14" s="7">
        <v>0.786</v>
      </c>
      <c r="E14" s="7">
        <v>0.895</v>
      </c>
      <c r="F14">
        <v>2</v>
      </c>
      <c r="H14" s="6" t="s">
        <v>30</v>
      </c>
      <c r="I14" s="7">
        <v>0.83</v>
      </c>
      <c r="J14" s="7">
        <v>0.805</v>
      </c>
      <c r="K14" s="7">
        <v>0.824</v>
      </c>
      <c r="L14" s="7">
        <v>0.911</v>
      </c>
      <c r="M14">
        <v>3</v>
      </c>
      <c r="O14" s="8" t="s">
        <v>50</v>
      </c>
      <c r="P14">
        <f>(P7-B7)/B7*100</f>
        <v>0.851581508515816</v>
      </c>
      <c r="Q14">
        <f>(Q7-C7)/C7*100</f>
        <v>-0.907911802853438</v>
      </c>
      <c r="R14">
        <f>(R7-D7)/D7*100</f>
        <v>0.753768844221106</v>
      </c>
      <c r="S14">
        <f>(S7-E7)/E7*100</f>
        <v>3.30672748004561</v>
      </c>
    </row>
    <row r="15" ht="16.35" spans="1:13">
      <c r="A15" s="4" t="s">
        <v>45</v>
      </c>
      <c r="B15" s="5">
        <v>0.819</v>
      </c>
      <c r="C15" s="5">
        <v>0.721</v>
      </c>
      <c r="D15" s="5">
        <v>0.781</v>
      </c>
      <c r="E15" s="5">
        <v>0.898</v>
      </c>
      <c r="F15">
        <v>2</v>
      </c>
      <c r="H15" s="4" t="s">
        <v>45</v>
      </c>
      <c r="I15" s="5">
        <v>0.836</v>
      </c>
      <c r="J15" s="5">
        <v>0.799</v>
      </c>
      <c r="K15" s="5">
        <v>0.828</v>
      </c>
      <c r="L15" s="5">
        <v>0.902</v>
      </c>
      <c r="M15">
        <v>3</v>
      </c>
    </row>
    <row r="16" ht="31.2" spans="1:13">
      <c r="A16" s="6" t="s">
        <v>46</v>
      </c>
      <c r="B16" s="7">
        <v>0.789</v>
      </c>
      <c r="C16" s="7">
        <v>0.771</v>
      </c>
      <c r="D16" s="7">
        <v>0.769</v>
      </c>
      <c r="E16" s="7">
        <v>0.887</v>
      </c>
      <c r="F16">
        <v>2</v>
      </c>
      <c r="H16" s="6" t="s">
        <v>46</v>
      </c>
      <c r="I16" s="7">
        <v>0.83</v>
      </c>
      <c r="J16" s="7">
        <v>0.811</v>
      </c>
      <c r="K16" s="7">
        <v>0.826</v>
      </c>
      <c r="L16" s="7">
        <v>0.899</v>
      </c>
      <c r="M16">
        <v>3</v>
      </c>
    </row>
    <row r="17" ht="16.35" spans="1:13">
      <c r="A17" s="4" t="s">
        <v>47</v>
      </c>
      <c r="B17" s="5">
        <v>0.799</v>
      </c>
      <c r="C17" s="5">
        <v>0.735</v>
      </c>
      <c r="D17" s="5">
        <v>0.769</v>
      </c>
      <c r="E17" s="5">
        <v>0.87</v>
      </c>
      <c r="F17">
        <v>2</v>
      </c>
      <c r="H17" s="4" t="s">
        <v>47</v>
      </c>
      <c r="I17" s="5">
        <v>0.83</v>
      </c>
      <c r="J17" s="5">
        <v>0.824</v>
      </c>
      <c r="K17" s="5">
        <v>0.827</v>
      </c>
      <c r="L17" s="5">
        <v>0.901</v>
      </c>
      <c r="M17">
        <v>3</v>
      </c>
    </row>
    <row r="18" ht="15.15" spans="1:13">
      <c r="A18" s="8" t="s">
        <v>48</v>
      </c>
      <c r="B18">
        <f t="shared" ref="B18:T18" si="1">AVERAGE(B12:B17)</f>
        <v>0.811666666666667</v>
      </c>
      <c r="C18">
        <f t="shared" si="1"/>
        <v>0.757833333333333</v>
      </c>
      <c r="D18">
        <f t="shared" si="1"/>
        <v>0.7855</v>
      </c>
      <c r="E18">
        <f t="shared" si="1"/>
        <v>0.889666666666667</v>
      </c>
      <c r="F18">
        <f t="shared" si="1"/>
        <v>2</v>
      </c>
      <c r="H18" s="8" t="s">
        <v>48</v>
      </c>
      <c r="I18">
        <f t="shared" si="1"/>
        <v>0.8315</v>
      </c>
      <c r="J18">
        <f t="shared" si="1"/>
        <v>0.804333333333333</v>
      </c>
      <c r="K18">
        <f t="shared" si="1"/>
        <v>0.8255</v>
      </c>
      <c r="L18">
        <f t="shared" si="1"/>
        <v>0.901666666666667</v>
      </c>
      <c r="M18">
        <f t="shared" si="1"/>
        <v>3</v>
      </c>
    </row>
    <row r="19" ht="15.75" spans="8:20">
      <c r="H19" s="8" t="s">
        <v>50</v>
      </c>
      <c r="I19">
        <f>(I12-B2)/B2*100</f>
        <v>0</v>
      </c>
      <c r="J19">
        <f>(J12-C2)/C2*100</f>
        <v>4.53955901426719</v>
      </c>
      <c r="K19">
        <f>(K12-D2)/D2*100</f>
        <v>2.44798041615667</v>
      </c>
      <c r="L19">
        <f>(L12-E2)/E2*100</f>
        <v>-0.329308452250275</v>
      </c>
      <c r="O19" s="1" t="s">
        <v>39</v>
      </c>
      <c r="P19" s="1" t="s">
        <v>40</v>
      </c>
      <c r="Q19" s="1" t="s">
        <v>41</v>
      </c>
      <c r="R19" s="1" t="s">
        <v>42</v>
      </c>
      <c r="S19" s="1" t="s">
        <v>43</v>
      </c>
      <c r="T19" s="1" t="s">
        <v>0</v>
      </c>
    </row>
    <row r="20" ht="63.9" spans="8:20">
      <c r="H20" s="8" t="s">
        <v>50</v>
      </c>
      <c r="I20">
        <f>(I13-B3)/B3*100</f>
        <v>0.244200244200244</v>
      </c>
      <c r="J20">
        <f>(J13-C3)/C3*100</f>
        <v>-0.509554140127389</v>
      </c>
      <c r="K20">
        <f>(K13-D3)/D3*100</f>
        <v>1.62907268170426</v>
      </c>
      <c r="L20">
        <f>(L13-E3)/E3*100</f>
        <v>-0.670391061452515</v>
      </c>
      <c r="O20" s="2" t="s">
        <v>36</v>
      </c>
      <c r="P20" s="3">
        <v>0.845</v>
      </c>
      <c r="Q20" s="3">
        <v>0.824</v>
      </c>
      <c r="R20" s="3">
        <v>0.843</v>
      </c>
      <c r="S20" s="3">
        <v>0.916</v>
      </c>
      <c r="T20">
        <v>5</v>
      </c>
    </row>
    <row r="21" ht="47.55" spans="8:20">
      <c r="H21" s="8" t="s">
        <v>50</v>
      </c>
      <c r="I21">
        <f>(I14-B4)/B4*100</f>
        <v>2.59579728059331</v>
      </c>
      <c r="J21">
        <f>(J14-C4)/C4*100</f>
        <v>6.34081902245707</v>
      </c>
      <c r="K21">
        <f>(K14-D4)/D4*100</f>
        <v>5.23627075351212</v>
      </c>
      <c r="L21">
        <f>(L14-E4)/E4*100</f>
        <v>1.67410714285714</v>
      </c>
      <c r="O21" s="4" t="s">
        <v>51</v>
      </c>
      <c r="P21" s="5">
        <v>0.83</v>
      </c>
      <c r="Q21" s="5">
        <v>0.849</v>
      </c>
      <c r="R21" s="5">
        <v>0.834</v>
      </c>
      <c r="S21" s="5">
        <v>0.909</v>
      </c>
      <c r="T21">
        <v>5</v>
      </c>
    </row>
    <row r="22" spans="8:20">
      <c r="H22" s="8" t="s">
        <v>50</v>
      </c>
      <c r="I22">
        <f>(I15-B5)/B5*100</f>
        <v>0.480769230769231</v>
      </c>
      <c r="J22">
        <f>(J15-C5)/C5*100</f>
        <v>3.63164721141375</v>
      </c>
      <c r="K22">
        <f>(K15-D5)/D5*100</f>
        <v>2.72952853598014</v>
      </c>
      <c r="L22">
        <f>(L15-E5)/E5*100</f>
        <v>0.222222222222222</v>
      </c>
      <c r="O22" s="8" t="s">
        <v>48</v>
      </c>
      <c r="P22">
        <f>AVERAGE(P20:P21)</f>
        <v>0.8375</v>
      </c>
      <c r="Q22">
        <f>AVERAGE(Q20:Q21)</f>
        <v>0.8365</v>
      </c>
      <c r="R22">
        <f>AVERAGE(R20:R21)</f>
        <v>0.8385</v>
      </c>
      <c r="S22">
        <f>AVERAGE(S20:S21)</f>
        <v>0.9125</v>
      </c>
      <c r="T22">
        <v>5</v>
      </c>
    </row>
    <row r="23" spans="8:19">
      <c r="H23" s="8" t="s">
        <v>50</v>
      </c>
      <c r="I23">
        <f>(I16-B6)/B6*100</f>
        <v>8.78112712975098</v>
      </c>
      <c r="J23">
        <f>(J16-C6)/C6*100</f>
        <v>12.4826629680999</v>
      </c>
      <c r="K23">
        <f>(K16-D6)/D6*100</f>
        <v>12.8415300546448</v>
      </c>
      <c r="L23">
        <f>(L16-E6)/E6*100</f>
        <v>2.04313280363224</v>
      </c>
      <c r="O23" s="8" t="s">
        <v>50</v>
      </c>
      <c r="P23">
        <f>(P20-B2)/B2*100</f>
        <v>0.356294536817102</v>
      </c>
      <c r="Q23">
        <f>(Q20-C2)/C2*100</f>
        <v>6.87418936446173</v>
      </c>
      <c r="R23">
        <f>(R20-D2)/D2*100</f>
        <v>3.18237454100367</v>
      </c>
      <c r="S23">
        <f>(S20-E2)/E2*100</f>
        <v>0.548847420417125</v>
      </c>
    </row>
    <row r="24" spans="8:19">
      <c r="H24" s="8" t="s">
        <v>50</v>
      </c>
      <c r="I24">
        <f>(I17-B7)/B7*100</f>
        <v>0.973236009732361</v>
      </c>
      <c r="J24">
        <f>(J17-C7)/C7*100</f>
        <v>6.87418936446173</v>
      </c>
      <c r="K24">
        <f>(K17-D7)/D7*100</f>
        <v>3.89447236180903</v>
      </c>
      <c r="L24">
        <f>(L17-E7)/E7*100</f>
        <v>2.73660205245154</v>
      </c>
      <c r="O24" s="8" t="s">
        <v>50</v>
      </c>
      <c r="P24">
        <f>(P21-B6)/B6*100</f>
        <v>8.78112712975098</v>
      </c>
      <c r="Q24">
        <f>(Q21-C6)/C6*100</f>
        <v>17.753120665742</v>
      </c>
      <c r="R24">
        <f>(R21-D6)/D6*100</f>
        <v>13.9344262295082</v>
      </c>
      <c r="S24">
        <f>(S21-E6)/E6*100</f>
        <v>3.17820658342793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scenario_comparison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YASİN ÜNAL</cp:lastModifiedBy>
  <dcterms:created xsi:type="dcterms:W3CDTF">2026-01-01T14:09:11Z</dcterms:created>
  <dcterms:modified xsi:type="dcterms:W3CDTF">2026-01-01T22:59:05Z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60EFD017E60B4525A8143A3F159B7EB9_13</vt:lpwstr>
  </property>
  <property fmtid="{D5CDD505-2E9C-101B-9397-08002B2CF9AE}" pid="3" name="KSOProductBuildVer">
    <vt:lpwstr>1033-12.2.0.22549</vt:lpwstr>
  </property>
</Properties>
</file>